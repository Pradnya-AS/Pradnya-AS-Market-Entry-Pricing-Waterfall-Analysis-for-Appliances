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c_lab227/Desktop/market/model/"/>
    </mc:Choice>
  </mc:AlternateContent>
  <xr:revisionPtr revIDLastSave="0" documentId="13_ncr:1_{7C75F88D-0538-B149-8E88-DE5DF79D2B64}" xr6:coauthVersionLast="47" xr6:coauthVersionMax="47" xr10:uidLastSave="{00000000-0000-0000-0000-000000000000}"/>
  <bookViews>
    <workbookView xWindow="0" yWindow="0" windowWidth="28800" windowHeight="18000" activeTab="1" xr2:uid="{CDCA6184-1CEC-6844-9FD0-60C3FB230EAF}"/>
  </bookViews>
  <sheets>
    <sheet name="Landed_Cost" sheetId="1" r:id="rId1"/>
    <sheet name="Price_Waterfall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I7" i="2" s="1"/>
  <c r="J5" i="2"/>
  <c r="B7" i="2"/>
  <c r="C7" i="2"/>
  <c r="D7" i="2"/>
  <c r="E7" i="2"/>
  <c r="F7" i="2"/>
  <c r="G7" i="2"/>
  <c r="H7" i="2"/>
  <c r="J7" i="2"/>
  <c r="B2" i="2"/>
  <c r="C2" i="2"/>
  <c r="D2" i="2"/>
  <c r="E2" i="2"/>
  <c r="F2" i="2"/>
  <c r="G2" i="2"/>
  <c r="H2" i="2"/>
  <c r="I2" i="2"/>
  <c r="J2" i="2"/>
  <c r="G4" i="1"/>
  <c r="E4" i="1"/>
  <c r="D4" i="1"/>
  <c r="C4" i="1"/>
  <c r="B4" i="1"/>
  <c r="F4" i="1" s="1"/>
  <c r="H4" i="1" s="1"/>
  <c r="G3" i="1"/>
  <c r="E3" i="1"/>
  <c r="D3" i="1"/>
  <c r="C3" i="1"/>
  <c r="B3" i="1"/>
  <c r="F3" i="1" s="1"/>
  <c r="H3" i="1" s="1"/>
  <c r="G2" i="1"/>
  <c r="E2" i="1"/>
  <c r="D2" i="1"/>
  <c r="C2" i="1"/>
  <c r="B2" i="1"/>
  <c r="F2" i="1" s="1"/>
  <c r="H2" i="1" s="1"/>
</calcChain>
</file>

<file path=xl/sharedStrings.xml><?xml version="1.0" encoding="utf-8"?>
<sst xmlns="http://schemas.openxmlformats.org/spreadsheetml/2006/main" count="27" uniqueCount="26">
  <si>
    <t>Country</t>
  </si>
  <si>
    <t>Factory</t>
  </si>
  <si>
    <t>Packaging</t>
  </si>
  <si>
    <t>Freight</t>
  </si>
  <si>
    <t>Pre-Tariff</t>
  </si>
  <si>
    <t>Landed Cost</t>
  </si>
  <si>
    <t>India</t>
  </si>
  <si>
    <t>Vietnam</t>
  </si>
  <si>
    <t>Mexico</t>
  </si>
  <si>
    <t>Insurance %</t>
  </si>
  <si>
    <t>Tariff %</t>
  </si>
  <si>
    <t>Component</t>
  </si>
  <si>
    <t>Platform Fee (%)</t>
  </si>
  <si>
    <t>Marketing Cost</t>
  </si>
  <si>
    <t>Subtotal Cost</t>
  </si>
  <si>
    <t>Target Margin (%)</t>
  </si>
  <si>
    <t>Final Price</t>
  </si>
  <si>
    <t>India - Amazon</t>
  </si>
  <si>
    <t>India - Retail</t>
  </si>
  <si>
    <t>India - D2C</t>
  </si>
  <si>
    <t>Vietnam - Amazon</t>
  </si>
  <si>
    <t>Vietnam - Retail</t>
  </si>
  <si>
    <t>Vietnam - D2C</t>
  </si>
  <si>
    <t>Mexico - Amazon</t>
  </si>
  <si>
    <t>Mexico - Retail</t>
  </si>
  <si>
    <t>Mexico - D2C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</si>
</sst>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 shrinkToFit="1"/>
    </xf>
    <xf numFmtId="9" fontId="0" fillId="0" borderId="0" xfId="0" applyNumberFormat="1" applyAlignment="1">
      <alignment wrapText="1" shrinkToFit="1"/>
    </xf>
    <xf numFmtId="9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bc_lab227/Desktop/market/data/assumptions.xlsx" TargetMode="External"/><Relationship Id="rId1" Type="http://schemas.openxmlformats.org/officeDocument/2006/relationships/externalLinkPath" Target="/Users/mbc_lab227/Desktop/market/data/assum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</sheetNames>
    <sheetDataSet>
      <sheetData sheetId="0">
        <row r="2">
          <cell r="B2">
            <v>220</v>
          </cell>
          <cell r="C2">
            <v>210</v>
          </cell>
          <cell r="D2">
            <v>260</v>
          </cell>
        </row>
        <row r="3">
          <cell r="B3">
            <v>10</v>
          </cell>
          <cell r="C3">
            <v>10</v>
          </cell>
          <cell r="D3">
            <v>12</v>
          </cell>
        </row>
        <row r="4">
          <cell r="B4">
            <v>35</v>
          </cell>
          <cell r="C4">
            <v>40</v>
          </cell>
          <cell r="D4">
            <v>25</v>
          </cell>
        </row>
        <row r="5">
          <cell r="B5">
            <v>0.02</v>
          </cell>
          <cell r="C5">
            <v>0.02</v>
          </cell>
          <cell r="D5">
            <v>0.02</v>
          </cell>
        </row>
        <row r="6">
          <cell r="B6">
            <v>0.15</v>
          </cell>
          <cell r="C6">
            <v>0.1</v>
          </cell>
          <cell r="D6">
            <v>0.05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58F5-BC2C-5041-B184-FCC025AC405D}">
  <dimension ref="A1:I4"/>
  <sheetViews>
    <sheetView zoomScale="109" zoomScaleNormal="238" workbookViewId="0">
      <selection activeCell="H8" sqref="H8"/>
    </sheetView>
  </sheetViews>
  <sheetFormatPr baseColWidth="10" defaultRowHeight="16" x14ac:dyDescent="0.2"/>
  <cols>
    <col min="2" max="3" width="10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10</v>
      </c>
      <c r="H1" s="1" t="s">
        <v>5</v>
      </c>
      <c r="I1" s="1"/>
    </row>
    <row r="2" spans="1:9" x14ac:dyDescent="0.2">
      <c r="A2" s="2" t="s">
        <v>6</v>
      </c>
      <c r="B2" s="3">
        <f>[1]Assumptions!B2</f>
        <v>220</v>
      </c>
      <c r="C2" s="3">
        <f>[1]Assumptions!B3</f>
        <v>10</v>
      </c>
      <c r="D2" s="3">
        <f>[1]Assumptions!B4</f>
        <v>35</v>
      </c>
      <c r="E2" s="4">
        <f>[1]Assumptions!B5</f>
        <v>0.02</v>
      </c>
      <c r="F2" s="3">
        <f>B2+C2+D2+(E2*(B2+C2))</f>
        <v>269.60000000000002</v>
      </c>
      <c r="G2" s="4">
        <f>[1]Assumptions!B6</f>
        <v>0.15</v>
      </c>
      <c r="H2" s="3">
        <f>F2+(F2*G2)</f>
        <v>310.04000000000002</v>
      </c>
    </row>
    <row r="3" spans="1:9" x14ac:dyDescent="0.2">
      <c r="A3" s="2" t="s">
        <v>7</v>
      </c>
      <c r="B3" s="3">
        <f>[1]Assumptions!C2</f>
        <v>210</v>
      </c>
      <c r="C3" s="3">
        <f>[1]Assumptions!C3</f>
        <v>10</v>
      </c>
      <c r="D3" s="3">
        <f>[1]Assumptions!C4</f>
        <v>40</v>
      </c>
      <c r="E3" s="4">
        <f>[1]Assumptions!C5</f>
        <v>0.02</v>
      </c>
      <c r="F3" s="3">
        <f>B3+C3+D3+(E3*(B3+C3))</f>
        <v>264.39999999999998</v>
      </c>
      <c r="G3" s="4">
        <f>[1]Assumptions!C6</f>
        <v>0.1</v>
      </c>
      <c r="H3" s="3">
        <f>F3+(F3*G3)</f>
        <v>290.83999999999997</v>
      </c>
    </row>
    <row r="4" spans="1:9" x14ac:dyDescent="0.2">
      <c r="A4" s="2" t="s">
        <v>8</v>
      </c>
      <c r="B4" s="3">
        <f>[1]Assumptions!D2</f>
        <v>260</v>
      </c>
      <c r="C4" s="3">
        <f>[1]Assumptions!D3</f>
        <v>12</v>
      </c>
      <c r="D4" s="3">
        <f>[1]Assumptions!D4</f>
        <v>25</v>
      </c>
      <c r="E4" s="4">
        <f>[1]Assumptions!D5</f>
        <v>0.02</v>
      </c>
      <c r="F4" s="3">
        <f>B4+C4+D4+(E4*(B4+C4))</f>
        <v>302.44</v>
      </c>
      <c r="G4" s="4">
        <f>[1]Assumptions!D6</f>
        <v>0.05</v>
      </c>
      <c r="H4" s="3">
        <f>F4+(F4*G4)</f>
        <v>317.56200000000001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2DF1-DE2F-7941-8BE0-C1A54AF9C7F1}">
  <dimension ref="A1:J7"/>
  <sheetViews>
    <sheetView tabSelected="1" workbookViewId="0">
      <selection activeCell="I18" sqref="I18"/>
    </sheetView>
  </sheetViews>
  <sheetFormatPr baseColWidth="10" defaultRowHeight="16" x14ac:dyDescent="0.2"/>
  <cols>
    <col min="1" max="1" width="21" customWidth="1"/>
    <col min="2" max="2" width="13" customWidth="1"/>
    <col min="3" max="3" width="13.1640625" customWidth="1"/>
    <col min="4" max="4" width="15.33203125" customWidth="1"/>
    <col min="5" max="5" width="10.83203125" customWidth="1"/>
  </cols>
  <sheetData>
    <row r="1" spans="1:10" ht="34" x14ac:dyDescent="0.2">
      <c r="A1" s="6" t="s">
        <v>11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</row>
    <row r="2" spans="1:10" x14ac:dyDescent="0.2">
      <c r="A2" t="s">
        <v>5</v>
      </c>
      <c r="B2">
        <f>Landed_Cost!H2</f>
        <v>310.04000000000002</v>
      </c>
      <c r="C2">
        <f>Landed_Cost!H2</f>
        <v>310.04000000000002</v>
      </c>
      <c r="D2">
        <f>Landed_Cost!H2</f>
        <v>310.04000000000002</v>
      </c>
      <c r="E2">
        <f>Landed_Cost!H3</f>
        <v>290.83999999999997</v>
      </c>
      <c r="F2">
        <f>Landed_Cost!H3</f>
        <v>290.83999999999997</v>
      </c>
      <c r="G2">
        <f>Landed_Cost!H3</f>
        <v>290.83999999999997</v>
      </c>
      <c r="H2">
        <f>Landed_Cost!H4</f>
        <v>317.56200000000001</v>
      </c>
      <c r="I2">
        <f>Landed_Cost!H4</f>
        <v>317.56200000000001</v>
      </c>
      <c r="J2">
        <f>Landed_Cost!H4</f>
        <v>317.56200000000001</v>
      </c>
    </row>
    <row r="3" spans="1:10" x14ac:dyDescent="0.2">
      <c r="A3" t="s">
        <v>12</v>
      </c>
      <c r="B3" s="5">
        <v>0.15</v>
      </c>
      <c r="C3" s="5">
        <v>0</v>
      </c>
      <c r="D3" s="5">
        <v>0</v>
      </c>
      <c r="E3" s="5">
        <v>0.15</v>
      </c>
      <c r="F3" s="5">
        <v>0</v>
      </c>
      <c r="G3" s="5">
        <v>0</v>
      </c>
      <c r="H3" s="5">
        <v>0.15</v>
      </c>
      <c r="I3" s="5">
        <v>0</v>
      </c>
      <c r="J3" s="5">
        <v>0</v>
      </c>
    </row>
    <row r="4" spans="1:10" x14ac:dyDescent="0.2">
      <c r="A4" t="s">
        <v>13</v>
      </c>
      <c r="B4">
        <v>30</v>
      </c>
      <c r="C4">
        <v>10</v>
      </c>
      <c r="D4">
        <v>50</v>
      </c>
      <c r="E4">
        <v>30</v>
      </c>
      <c r="F4">
        <v>10</v>
      </c>
      <c r="G4">
        <v>50</v>
      </c>
      <c r="H4">
        <v>30</v>
      </c>
      <c r="I4">
        <v>10</v>
      </c>
      <c r="J4">
        <v>50</v>
      </c>
    </row>
    <row r="5" spans="1:10" x14ac:dyDescent="0.2">
      <c r="A5" t="s">
        <v>14</v>
      </c>
      <c r="B5">
        <f>ROUND(B2+(B2*B3)+B4,2)</f>
        <v>386.55</v>
      </c>
      <c r="C5">
        <f>ROUND(C2+(C2*C3)+C4,2)</f>
        <v>320.04000000000002</v>
      </c>
      <c r="D5">
        <f>ROUND(D2+(D2*D3)+D4,2)</f>
        <v>360.04</v>
      </c>
      <c r="E5">
        <f>ROUND(E2+(E2*E3)+E4,2)</f>
        <v>364.47</v>
      </c>
      <c r="F5">
        <f>ROUND(F2+(F2*F3)+F4,2)</f>
        <v>300.83999999999997</v>
      </c>
      <c r="G5">
        <f>ROUND(G2+(G2*G3)+G4,2)</f>
        <v>340.84</v>
      </c>
      <c r="H5">
        <f>ROUND(H2+(H2*H3)+H4,2)</f>
        <v>395.2</v>
      </c>
      <c r="I5">
        <f>ROUND(I2+(I2*I3)+I4,2)</f>
        <v>327.56</v>
      </c>
      <c r="J5">
        <f>ROUND(J2+(J2*J3)+J4,2)</f>
        <v>367.56</v>
      </c>
    </row>
    <row r="6" spans="1:10" x14ac:dyDescent="0.2">
      <c r="A6" t="s">
        <v>15</v>
      </c>
      <c r="B6" s="5">
        <v>0.2</v>
      </c>
      <c r="C6" s="5">
        <v>0.25</v>
      </c>
      <c r="D6" s="5">
        <v>0.3</v>
      </c>
      <c r="E6" s="5">
        <v>0.2</v>
      </c>
      <c r="F6" s="5">
        <v>0.25</v>
      </c>
      <c r="G6" s="5">
        <v>0.3</v>
      </c>
      <c r="H6" s="5">
        <v>0.2</v>
      </c>
      <c r="I6" s="5">
        <v>0.25</v>
      </c>
      <c r="J6" s="5">
        <v>0.3</v>
      </c>
    </row>
    <row r="7" spans="1:10" x14ac:dyDescent="0.2">
      <c r="A7" t="s">
        <v>16</v>
      </c>
      <c r="B7">
        <f>ROUND(B5/(1-B6),2)</f>
        <v>483.19</v>
      </c>
      <c r="C7">
        <f>ROUND(C5/(1-C6),2)</f>
        <v>426.72</v>
      </c>
      <c r="D7">
        <f>ROUND(D5/(1-D6),2)</f>
        <v>514.34</v>
      </c>
      <c r="E7">
        <f>ROUND(E5/(1-E6),2)</f>
        <v>455.59</v>
      </c>
      <c r="F7">
        <f>ROUND(F5/(1-F6),2)</f>
        <v>401.12</v>
      </c>
      <c r="G7">
        <f>ROUND(G5/(1-G6),2)</f>
        <v>486.91</v>
      </c>
      <c r="H7">
        <f>ROUND(H5/(1-H6),2)</f>
        <v>494</v>
      </c>
      <c r="I7">
        <f>ROUND(I5/(1-I6),2)</f>
        <v>436.75</v>
      </c>
      <c r="J7">
        <f>ROUND(J5/(1-J6),2)</f>
        <v>525.09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Landed_Cost</vt:lpstr>
      <vt:lpstr>Price_Waterfall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Ramaiah</dc:creator>
  <cp:lastModifiedBy>Sudha Ramaiah</cp:lastModifiedBy>
  <dcterms:created xsi:type="dcterms:W3CDTF">2026-04-16T18:10:37Z</dcterms:created>
  <dcterms:modified xsi:type="dcterms:W3CDTF">2026-04-16T18:53:01Z</dcterms:modified>
</cp:coreProperties>
</file>